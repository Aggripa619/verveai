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tart Here" sheetId="1" state="visible" r:id="rId1"/>
    <sheet name="Forecast" sheetId="2" state="visible" r:id="rId2"/>
    <sheet name="Safety St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yyyy"/>
    <numFmt numFmtId="166" formatCode="&quot;Forecast: &quot;mmm yyyy"/>
    <numFmt numFmtId="167" formatCode="0.0%"/>
    <numFmt numFmtId="168" formatCode="#,##0.0"/>
  </numFmts>
  <fonts count="14">
    <font>
      <name val="Calibri"/>
      <family val="2"/>
      <color theme="1"/>
      <sz val="11"/>
      <scheme val="minor"/>
    </font>
    <font>
      <b val="1"/>
      <color rgb="00132144"/>
      <sz val="20"/>
    </font>
    <font>
      <i val="1"/>
      <color rgb="006B7280"/>
    </font>
    <font>
      <b val="1"/>
      <color rgb="00132144"/>
      <sz val="13"/>
    </font>
    <font>
      <color rgb="0000C9A7"/>
      <u val="single"/>
    </font>
    <font>
      <color rgb="008048F5"/>
      <u val="single"/>
    </font>
    <font>
      <b val="1"/>
      <color rgb="00132144"/>
      <sz val="14"/>
    </font>
    <font>
      <b val="1"/>
    </font>
    <font>
      <b val="1"/>
      <color rgb="00FFFFFF"/>
    </font>
    <font>
      <color rgb="009CA3AF"/>
    </font>
    <font>
      <b val="1"/>
      <color rgb="0000C9A7"/>
    </font>
    <font/>
    <font>
      <color rgb="006B728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32144"/>
      </patternFill>
    </fill>
    <fill>
      <patternFill patternType="solid">
        <fgColor rgb="00F3F4F6"/>
      </patternFill>
    </fill>
    <fill>
      <patternFill patternType="solid">
        <fgColor rgb="00E6FAF6"/>
      </patternFill>
    </fill>
    <fill>
      <patternFill patternType="solid">
        <fgColor rgb="00C7F5E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0" fillId="2" borderId="1" pivotButton="0" quotePrefix="0" xfId="0"/>
    <xf numFmtId="2" fontId="0" fillId="2" borderId="1" pivotButton="0" quotePrefix="0" xfId="0"/>
    <xf numFmtId="0" fontId="8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3" fontId="0" fillId="4" borderId="1" pivotButton="0" quotePrefix="0" xfId="0"/>
    <xf numFmtId="0" fontId="9" fillId="0" borderId="0" applyAlignment="1" pivotButton="0" quotePrefix="0" xfId="0">
      <alignment horizontal="center"/>
    </xf>
    <xf numFmtId="166" fontId="7" fillId="5" borderId="1" pivotButton="0" quotePrefix="0" xfId="0"/>
    <xf numFmtId="0" fontId="0" fillId="5" borderId="1" pivotButton="0" quotePrefix="0" xfId="0"/>
    <xf numFmtId="3" fontId="0" fillId="5" borderId="1" pivotButton="0" quotePrefix="0" xfId="0"/>
    <xf numFmtId="167" fontId="7" fillId="0" borderId="1" pivotButton="0" quotePrefix="0" xfId="0"/>
    <xf numFmtId="0" fontId="0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11" fillId="0" borderId="0" pivotButton="0" quotePrefix="0" xfId="0"/>
    <xf numFmtId="168" fontId="0" fillId="4" borderId="1" pivotButton="0" quotePrefix="0" xfId="0"/>
    <xf numFmtId="0" fontId="12" fillId="0" borderId="0" pivotButton="0" quotePrefix="0" xfId="0"/>
    <xf numFmtId="3" fontId="0" fillId="2" borderId="1" pivotButton="0" quotePrefix="0" xfId="0"/>
    <xf numFmtId="3" fontId="13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C7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Actual vs Forecast</a:t>
            </a:r>
          </a:p>
        </rich>
      </tx>
    </title>
    <plotArea>
      <lineChart>
        <grouping val="standard"/>
        <ser>
          <idx val="0"/>
          <order val="0"/>
          <tx>
            <strRef>
              <f>'Forecast'!B5</f>
            </strRef>
          </tx>
          <spPr>
            <a:ln w="28000">
              <a:solidFill>
                <a:srgbClr val="1321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'Forecast'!$A$6:$A$35</f>
            </numRef>
          </cat>
          <val>
            <numRef>
              <f>'Forecast'!$B$6:$B$35</f>
            </numRef>
          </val>
          <smooth val="0"/>
        </ser>
        <ser>
          <idx val="1"/>
          <order val="1"/>
          <tx>
            <strRef>
              <f>'Forecast'!C5</f>
            </strRef>
          </tx>
          <spPr>
            <a:ln w="18000">
              <a:solidFill>
                <a:srgbClr val="9CA3A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'Forecast'!$A$6:$A$35</f>
            </numRef>
          </cat>
          <val>
            <numRef>
              <f>'Forecast'!$C$6:$C$35</f>
            </numRef>
          </val>
          <smooth val="0"/>
        </ser>
        <ser>
          <idx val="2"/>
          <order val="2"/>
          <tx>
            <strRef>
              <f>'Forecast'!D5</f>
            </strRef>
          </tx>
          <spPr>
            <a:ln w="18000">
              <a:solidFill>
                <a:srgbClr val="8048F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'Forecast'!$A$6:$A$35</f>
            </numRef>
          </cat>
          <val>
            <numRef>
              <f>'Forecast'!$D$6:$D$35</f>
            </numRef>
          </val>
          <smooth val="0"/>
        </ser>
        <ser>
          <idx val="3"/>
          <order val="3"/>
          <tx>
            <strRef>
              <f>'Forecast'!E5</f>
            </strRef>
          </tx>
          <spPr>
            <a:ln w="18000">
              <a:solidFill>
                <a:srgbClr val="F59E0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'Forecast'!$A$6:$A$35</f>
            </numRef>
          </cat>
          <val>
            <numRef>
              <f>'Forecast'!$E$6:$E$35</f>
            </numRef>
          </val>
          <smooth val="0"/>
        </ser>
        <ser>
          <idx val="4"/>
          <order val="4"/>
          <tx>
            <strRef>
              <f>'Forecast'!F5</f>
            </strRef>
          </tx>
          <spPr>
            <a:ln w="18000">
              <a:solidFill>
                <a:srgbClr val="00C9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'Forecast'!$A$6:$A$35</f>
            </numRef>
          </cat>
          <val>
            <numRef>
              <f>'Forecast'!$F$6:$F$35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s.shopify.com/verve-ai?utm_source=excel_template" TargetMode="External" Id="rId1" /><Relationship Type="http://schemas.openxmlformats.org/officeDocument/2006/relationships/hyperlink" Target="https://wordpress.org/plugins/verve-ai-inventory-forecasting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Demand Forecasting Template</t>
        </is>
      </c>
    </row>
    <row r="3">
      <c r="B3" s="2" t="inlineStr">
        <is>
          <t>by Verve AI · getverveai.com/blog/demand-forecasting-excel</t>
        </is>
      </c>
    </row>
    <row r="4">
      <c r="B4" s="3" t="inlineStr"/>
    </row>
    <row r="5">
      <c r="B5" s="4" t="inlineStr">
        <is>
          <t>How to use it (5 minutes)</t>
        </is>
      </c>
    </row>
    <row r="6">
      <c r="B6" s="3" t="inlineStr">
        <is>
          <t>1. Go to the Forecast tab and replace the yellow "Units Sold" cells with your last 24 months of sales for ONE product.</t>
        </is>
      </c>
    </row>
    <row r="7">
      <c r="B7" s="3" t="inlineStr">
        <is>
          <t xml:space="preserve">   Change the first month in A6 to your own start month; the other months update automatically.</t>
        </is>
      </c>
    </row>
    <row r="8">
      <c r="B8" s="3" t="inlineStr">
        <is>
          <t>2. Read off the next 6 months of forecasts (green rows) from four methods side by side.</t>
        </is>
      </c>
    </row>
    <row r="9">
      <c r="B9" s="3" t="inlineStr">
        <is>
          <t>3. Check the "Accuracy (MAPE)" row: the lowest % is the method that fit your history best. Use that one.</t>
        </is>
      </c>
    </row>
    <row r="10">
      <c r="B10" s="3" t="inlineStr">
        <is>
          <t>4. Go to the Safety Stock tab, enter your supplier lead times, and get your safety stock and reorder point.</t>
        </is>
      </c>
    </row>
    <row r="11">
      <c r="B11" s="3" t="inlineStr"/>
    </row>
    <row r="12">
      <c r="B12" s="4" t="inlineStr">
        <is>
          <t>Colour key</t>
        </is>
      </c>
    </row>
    <row r="13">
      <c r="B13" s="3" t="inlineStr">
        <is>
          <t>Yellow cells = your inputs.  Grey cells = formulas (don't overwrite).  Green rows = forecast months.</t>
        </is>
      </c>
    </row>
    <row r="14">
      <c r="B14" s="3" t="inlineStr"/>
    </row>
    <row r="15">
      <c r="B15" s="4" t="inlineStr">
        <is>
          <t>The four methods</t>
        </is>
      </c>
    </row>
    <row r="16">
      <c r="B16" s="3" t="inlineStr">
        <is>
          <t>3-Month Moving Average: average of the previous 3 months. Simple and stable; slow to react to trends.</t>
        </is>
      </c>
    </row>
    <row r="17">
      <c r="B17" s="3" t="inlineStr">
        <is>
          <t>Exponential Smoothing: weights recent months more. Tune the smoothing factor (alpha) on the Forecast tab: higher = reacts faster.</t>
        </is>
      </c>
    </row>
    <row r="18">
      <c r="B18" s="3" t="inlineStr">
        <is>
          <t>Linear Trend (FORECAST.LINEAR): fits a straight line through your history. Good for steady growth or decline.</t>
        </is>
      </c>
    </row>
    <row r="19">
      <c r="B19" s="3" t="inlineStr">
        <is>
          <t>Seasonal ETS (FORECAST.ETS): Excel's built-in seasonal model (12-month season). Best when you have a repeating yearly pattern.</t>
        </is>
      </c>
    </row>
    <row r="20">
      <c r="B20" s="3" t="inlineStr">
        <is>
          <t xml:space="preserve">   Needs Excel 2016 or later (Windows/Mac/365). In Google Sheets or older Excel this column shows an error; use the other three.</t>
        </is>
      </c>
    </row>
    <row r="21">
      <c r="B21" s="3" t="inlineStr"/>
    </row>
    <row r="22">
      <c r="B22" s="4" t="inlineStr">
        <is>
          <t>Forecasting more than a handful of SKUs?</t>
        </is>
      </c>
    </row>
    <row r="23">
      <c r="B23" s="3" t="inlineStr">
        <is>
          <t>Verve AI connects to Shopify or WooCommerce and forecasts every SKU automatically from your live sales data. Free 14-day trial:</t>
        </is>
      </c>
    </row>
    <row r="24">
      <c r="B24" s="5" t="inlineStr">
        <is>
          <t>Shopify: https://apps.shopify.com/verve-ai</t>
        </is>
      </c>
    </row>
    <row r="25">
      <c r="B25" s="6" t="inlineStr">
        <is>
          <t>WooCommerce: https://wordpress.org/plugins/verve-ai-inventory-forecasting</t>
        </is>
      </c>
    </row>
  </sheetData>
  <hyperlinks>
    <hyperlink xmlns:r="http://schemas.openxmlformats.org/officeDocument/2006/relationships" ref="B24" r:id="rId1"/>
    <hyperlink xmlns:r="http://schemas.openxmlformats.org/officeDocument/2006/relationships" ref="B25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0" customWidth="1" min="3" max="3"/>
    <col width="22" customWidth="1" min="4" max="4"/>
    <col width="22" customWidth="1" min="5" max="5"/>
    <col width="22" customWidth="1" min="6" max="6"/>
    <col width="10" customWidth="1" min="7" max="7"/>
  </cols>
  <sheetData>
    <row r="1">
      <c r="A1" s="7" t="inlineStr">
        <is>
          <t>Demand Forecast: replace the yellow cells with your own monthly sales</t>
        </is>
      </c>
    </row>
    <row r="2">
      <c r="A2" s="8" t="inlineStr">
        <is>
          <t>Product / SKU</t>
        </is>
      </c>
      <c r="B2" s="9" t="inlineStr">
        <is>
          <t>Hoodie A</t>
        </is>
      </c>
    </row>
    <row r="3">
      <c r="A3" s="8" t="inlineStr">
        <is>
          <t>Smoothing factor (alpha, 0.1–0.9)</t>
        </is>
      </c>
      <c r="B3" s="10" t="n">
        <v>0.3</v>
      </c>
    </row>
    <row r="5" ht="32" customHeight="1">
      <c r="A5" s="11" t="inlineStr">
        <is>
          <t>Month</t>
        </is>
      </c>
      <c r="B5" s="11" t="inlineStr">
        <is>
          <t>Units Sold</t>
        </is>
      </c>
      <c r="C5" s="11" t="inlineStr">
        <is>
          <t>3-Month Moving Avg</t>
        </is>
      </c>
      <c r="D5" s="11" t="inlineStr">
        <is>
          <t>Exponential Smoothing</t>
        </is>
      </c>
      <c r="E5" s="11" t="inlineStr">
        <is>
          <t>Linear Trend
(FORECAST.LINEAR)</t>
        </is>
      </c>
      <c r="F5" s="11" t="inlineStr">
        <is>
          <t>Seasonal ETS
(FORECAST.ETS)</t>
        </is>
      </c>
      <c r="G5" s="11" t="inlineStr">
        <is>
          <t>Period #</t>
        </is>
      </c>
    </row>
    <row r="6">
      <c r="A6" s="12" t="n">
        <v>45292</v>
      </c>
      <c r="B6" s="9" t="n">
        <v>120</v>
      </c>
      <c r="C6" s="13" t="n"/>
      <c r="D6" s="13">
        <f>B6</f>
        <v/>
      </c>
      <c r="E6" s="13">
        <f>_xlfn.FORECAST.LINEAR(G6,$B$6:$B$29,$G$6:$G$29)</f>
        <v/>
      </c>
      <c r="F6" s="13" t="n"/>
      <c r="G6" s="14" t="n">
        <v>1</v>
      </c>
    </row>
    <row r="7">
      <c r="A7" s="12">
        <f>EDATE(A6,1)</f>
        <v/>
      </c>
      <c r="B7" s="9" t="n">
        <v>130</v>
      </c>
      <c r="C7" s="13" t="n"/>
      <c r="D7" s="13">
        <f>$B$3*B6+(1-$B$3)*D6</f>
        <v/>
      </c>
      <c r="E7" s="13">
        <f>_xlfn.FORECAST.LINEAR(G7,$B$6:$B$29,$G$6:$G$29)</f>
        <v/>
      </c>
      <c r="F7" s="13" t="n"/>
      <c r="G7" s="14" t="n">
        <v>2</v>
      </c>
    </row>
    <row r="8">
      <c r="A8" s="12">
        <f>EDATE(A7,1)</f>
        <v/>
      </c>
      <c r="B8" s="9" t="n">
        <v>125</v>
      </c>
      <c r="C8" s="13" t="n"/>
      <c r="D8" s="13">
        <f>$B$3*B7+(1-$B$3)*D7</f>
        <v/>
      </c>
      <c r="E8" s="13">
        <f>_xlfn.FORECAST.LINEAR(G8,$B$6:$B$29,$G$6:$G$29)</f>
        <v/>
      </c>
      <c r="F8" s="13" t="n"/>
      <c r="G8" s="14" t="n">
        <v>3</v>
      </c>
    </row>
    <row r="9">
      <c r="A9" s="12">
        <f>EDATE(A8,1)</f>
        <v/>
      </c>
      <c r="B9" s="9" t="n">
        <v>118</v>
      </c>
      <c r="C9" s="13">
        <f>AVERAGE(B6:B8)</f>
        <v/>
      </c>
      <c r="D9" s="13">
        <f>$B$3*B8+(1-$B$3)*D8</f>
        <v/>
      </c>
      <c r="E9" s="13">
        <f>_xlfn.FORECAST.LINEAR(G9,$B$6:$B$29,$G$6:$G$29)</f>
        <v/>
      </c>
      <c r="F9" s="13" t="n"/>
      <c r="G9" s="14" t="n">
        <v>4</v>
      </c>
    </row>
    <row r="10">
      <c r="A10" s="12">
        <f>EDATE(A9,1)</f>
        <v/>
      </c>
      <c r="B10" s="9" t="n">
        <v>112</v>
      </c>
      <c r="C10" s="13">
        <f>AVERAGE(B7:B9)</f>
        <v/>
      </c>
      <c r="D10" s="13">
        <f>$B$3*B9+(1-$B$3)*D9</f>
        <v/>
      </c>
      <c r="E10" s="13">
        <f>_xlfn.FORECAST.LINEAR(G10,$B$6:$B$29,$G$6:$G$29)</f>
        <v/>
      </c>
      <c r="F10" s="13" t="n"/>
      <c r="G10" s="14" t="n">
        <v>5</v>
      </c>
    </row>
    <row r="11">
      <c r="A11" s="12">
        <f>EDATE(A10,1)</f>
        <v/>
      </c>
      <c r="B11" s="9" t="n">
        <v>115</v>
      </c>
      <c r="C11" s="13">
        <f>AVERAGE(B8:B10)</f>
        <v/>
      </c>
      <c r="D11" s="13">
        <f>$B$3*B10+(1-$B$3)*D10</f>
        <v/>
      </c>
      <c r="E11" s="13">
        <f>_xlfn.FORECAST.LINEAR(G11,$B$6:$B$29,$G$6:$G$29)</f>
        <v/>
      </c>
      <c r="F11" s="13" t="n"/>
      <c r="G11" s="14" t="n">
        <v>6</v>
      </c>
    </row>
    <row r="12">
      <c r="A12" s="12">
        <f>EDATE(A11,1)</f>
        <v/>
      </c>
      <c r="B12" s="9" t="n">
        <v>122</v>
      </c>
      <c r="C12" s="13">
        <f>AVERAGE(B9:B11)</f>
        <v/>
      </c>
      <c r="D12" s="13">
        <f>$B$3*B11+(1-$B$3)*D11</f>
        <v/>
      </c>
      <c r="E12" s="13">
        <f>_xlfn.FORECAST.LINEAR(G12,$B$6:$B$29,$G$6:$G$29)</f>
        <v/>
      </c>
      <c r="F12" s="13" t="n"/>
      <c r="G12" s="14" t="n">
        <v>7</v>
      </c>
    </row>
    <row r="13">
      <c r="A13" s="12">
        <f>EDATE(A12,1)</f>
        <v/>
      </c>
      <c r="B13" s="9" t="n">
        <v>135</v>
      </c>
      <c r="C13" s="13">
        <f>AVERAGE(B10:B12)</f>
        <v/>
      </c>
      <c r="D13" s="13">
        <f>$B$3*B12+(1-$B$3)*D12</f>
        <v/>
      </c>
      <c r="E13" s="13">
        <f>_xlfn.FORECAST.LINEAR(G13,$B$6:$B$29,$G$6:$G$29)</f>
        <v/>
      </c>
      <c r="F13" s="13" t="n"/>
      <c r="G13" s="14" t="n">
        <v>8</v>
      </c>
    </row>
    <row r="14">
      <c r="A14" s="12">
        <f>EDATE(A13,1)</f>
        <v/>
      </c>
      <c r="B14" s="9" t="n">
        <v>150</v>
      </c>
      <c r="C14" s="13">
        <f>AVERAGE(B11:B13)</f>
        <v/>
      </c>
      <c r="D14" s="13">
        <f>$B$3*B13+(1-$B$3)*D13</f>
        <v/>
      </c>
      <c r="E14" s="13">
        <f>_xlfn.FORECAST.LINEAR(G14,$B$6:$B$29,$G$6:$G$29)</f>
        <v/>
      </c>
      <c r="F14" s="13" t="n"/>
      <c r="G14" s="14" t="n">
        <v>9</v>
      </c>
    </row>
    <row r="15">
      <c r="A15" s="12">
        <f>EDATE(A14,1)</f>
        <v/>
      </c>
      <c r="B15" s="9" t="n">
        <v>170</v>
      </c>
      <c r="C15" s="13">
        <f>AVERAGE(B12:B14)</f>
        <v/>
      </c>
      <c r="D15" s="13">
        <f>$B$3*B14+(1-$B$3)*D14</f>
        <v/>
      </c>
      <c r="E15" s="13">
        <f>_xlfn.FORECAST.LINEAR(G15,$B$6:$B$29,$G$6:$G$29)</f>
        <v/>
      </c>
      <c r="F15" s="13" t="n"/>
      <c r="G15" s="14" t="n">
        <v>10</v>
      </c>
    </row>
    <row r="16">
      <c r="A16" s="12">
        <f>EDATE(A15,1)</f>
        <v/>
      </c>
      <c r="B16" s="9" t="n">
        <v>195</v>
      </c>
      <c r="C16" s="13">
        <f>AVERAGE(B13:B15)</f>
        <v/>
      </c>
      <c r="D16" s="13">
        <f>$B$3*B15+(1-$B$3)*D15</f>
        <v/>
      </c>
      <c r="E16" s="13">
        <f>_xlfn.FORECAST.LINEAR(G16,$B$6:$B$29,$G$6:$G$29)</f>
        <v/>
      </c>
      <c r="F16" s="13" t="n"/>
      <c r="G16" s="14" t="n">
        <v>11</v>
      </c>
    </row>
    <row r="17">
      <c r="A17" s="12">
        <f>EDATE(A16,1)</f>
        <v/>
      </c>
      <c r="B17" s="9" t="n">
        <v>200</v>
      </c>
      <c r="C17" s="13">
        <f>AVERAGE(B14:B16)</f>
        <v/>
      </c>
      <c r="D17" s="13">
        <f>$B$3*B16+(1-$B$3)*D16</f>
        <v/>
      </c>
      <c r="E17" s="13">
        <f>_xlfn.FORECAST.LINEAR(G17,$B$6:$B$29,$G$6:$G$29)</f>
        <v/>
      </c>
      <c r="F17" s="13" t="n"/>
      <c r="G17" s="14" t="n">
        <v>12</v>
      </c>
    </row>
    <row r="18">
      <c r="A18" s="12">
        <f>EDATE(A17,1)</f>
        <v/>
      </c>
      <c r="B18" s="9" t="n">
        <v>132</v>
      </c>
      <c r="C18" s="13">
        <f>AVERAGE(B15:B17)</f>
        <v/>
      </c>
      <c r="D18" s="13">
        <f>$B$3*B17+(1-$B$3)*D17</f>
        <v/>
      </c>
      <c r="E18" s="13">
        <f>_xlfn.FORECAST.LINEAR(G18,$B$6:$B$29,$G$6:$G$29)</f>
        <v/>
      </c>
      <c r="F18" s="13" t="n"/>
      <c r="G18" s="14" t="n">
        <v>13</v>
      </c>
    </row>
    <row r="19">
      <c r="A19" s="12">
        <f>EDATE(A18,1)</f>
        <v/>
      </c>
      <c r="B19" s="9" t="n">
        <v>141</v>
      </c>
      <c r="C19" s="13">
        <f>AVERAGE(B16:B18)</f>
        <v/>
      </c>
      <c r="D19" s="13">
        <f>$B$3*B18+(1-$B$3)*D18</f>
        <v/>
      </c>
      <c r="E19" s="13">
        <f>_xlfn.FORECAST.LINEAR(G19,$B$6:$B$29,$G$6:$G$29)</f>
        <v/>
      </c>
      <c r="F19" s="13" t="n"/>
      <c r="G19" s="14" t="n">
        <v>14</v>
      </c>
    </row>
    <row r="20">
      <c r="A20" s="12">
        <f>EDATE(A19,1)</f>
        <v/>
      </c>
      <c r="B20" s="9" t="n">
        <v>138</v>
      </c>
      <c r="C20" s="13">
        <f>AVERAGE(B17:B19)</f>
        <v/>
      </c>
      <c r="D20" s="13">
        <f>$B$3*B19+(1-$B$3)*D19</f>
        <v/>
      </c>
      <c r="E20" s="13">
        <f>_xlfn.FORECAST.LINEAR(G20,$B$6:$B$29,$G$6:$G$29)</f>
        <v/>
      </c>
      <c r="F20" s="13" t="n"/>
      <c r="G20" s="14" t="n">
        <v>15</v>
      </c>
    </row>
    <row r="21">
      <c r="A21" s="12">
        <f>EDATE(A20,1)</f>
        <v/>
      </c>
      <c r="B21" s="9" t="n">
        <v>129</v>
      </c>
      <c r="C21" s="13">
        <f>AVERAGE(B18:B20)</f>
        <v/>
      </c>
      <c r="D21" s="13">
        <f>$B$3*B20+(1-$B$3)*D20</f>
        <v/>
      </c>
      <c r="E21" s="13">
        <f>_xlfn.FORECAST.LINEAR(G21,$B$6:$B$29,$G$6:$G$29)</f>
        <v/>
      </c>
      <c r="F21" s="13" t="n"/>
      <c r="G21" s="14" t="n">
        <v>16</v>
      </c>
    </row>
    <row r="22">
      <c r="A22" s="12">
        <f>EDATE(A21,1)</f>
        <v/>
      </c>
      <c r="B22" s="9" t="n">
        <v>124</v>
      </c>
      <c r="C22" s="13">
        <f>AVERAGE(B19:B21)</f>
        <v/>
      </c>
      <c r="D22" s="13">
        <f>$B$3*B21+(1-$B$3)*D21</f>
        <v/>
      </c>
      <c r="E22" s="13">
        <f>_xlfn.FORECAST.LINEAR(G22,$B$6:$B$29,$G$6:$G$29)</f>
        <v/>
      </c>
      <c r="F22" s="13" t="n"/>
      <c r="G22" s="14" t="n">
        <v>17</v>
      </c>
    </row>
    <row r="23">
      <c r="A23" s="12">
        <f>EDATE(A22,1)</f>
        <v/>
      </c>
      <c r="B23" s="9" t="n">
        <v>128</v>
      </c>
      <c r="C23" s="13">
        <f>AVERAGE(B20:B22)</f>
        <v/>
      </c>
      <c r="D23" s="13">
        <f>$B$3*B22+(1-$B$3)*D22</f>
        <v/>
      </c>
      <c r="E23" s="13">
        <f>_xlfn.FORECAST.LINEAR(G23,$B$6:$B$29,$G$6:$G$29)</f>
        <v/>
      </c>
      <c r="F23" s="13" t="n"/>
      <c r="G23" s="14" t="n">
        <v>18</v>
      </c>
    </row>
    <row r="24">
      <c r="A24" s="12">
        <f>EDATE(A23,1)</f>
        <v/>
      </c>
      <c r="B24" s="9" t="n">
        <v>136</v>
      </c>
      <c r="C24" s="13">
        <f>AVERAGE(B21:B23)</f>
        <v/>
      </c>
      <c r="D24" s="13">
        <f>$B$3*B23+(1-$B$3)*D23</f>
        <v/>
      </c>
      <c r="E24" s="13">
        <f>_xlfn.FORECAST.LINEAR(G24,$B$6:$B$29,$G$6:$G$29)</f>
        <v/>
      </c>
      <c r="F24" s="13" t="n"/>
      <c r="G24" s="14" t="n">
        <v>19</v>
      </c>
    </row>
    <row r="25">
      <c r="A25" s="12">
        <f>EDATE(A24,1)</f>
        <v/>
      </c>
      <c r="B25" s="9" t="n">
        <v>149</v>
      </c>
      <c r="C25" s="13">
        <f>AVERAGE(B22:B24)</f>
        <v/>
      </c>
      <c r="D25" s="13">
        <f>$B$3*B24+(1-$B$3)*D24</f>
        <v/>
      </c>
      <c r="E25" s="13">
        <f>_xlfn.FORECAST.LINEAR(G25,$B$6:$B$29,$G$6:$G$29)</f>
        <v/>
      </c>
      <c r="F25" s="13" t="n"/>
      <c r="G25" s="14" t="n">
        <v>20</v>
      </c>
    </row>
    <row r="26">
      <c r="A26" s="12">
        <f>EDATE(A25,1)</f>
        <v/>
      </c>
      <c r="B26" s="9" t="n">
        <v>166</v>
      </c>
      <c r="C26" s="13">
        <f>AVERAGE(B23:B25)</f>
        <v/>
      </c>
      <c r="D26" s="13">
        <f>$B$3*B25+(1-$B$3)*D25</f>
        <v/>
      </c>
      <c r="E26" s="13">
        <f>_xlfn.FORECAST.LINEAR(G26,$B$6:$B$29,$G$6:$G$29)</f>
        <v/>
      </c>
      <c r="F26" s="13" t="n"/>
      <c r="G26" s="14" t="n">
        <v>21</v>
      </c>
    </row>
    <row r="27">
      <c r="A27" s="12">
        <f>EDATE(A26,1)</f>
        <v/>
      </c>
      <c r="B27" s="9" t="n">
        <v>188</v>
      </c>
      <c r="C27" s="13">
        <f>AVERAGE(B24:B26)</f>
        <v/>
      </c>
      <c r="D27" s="13">
        <f>$B$3*B26+(1-$B$3)*D26</f>
        <v/>
      </c>
      <c r="E27" s="13">
        <f>_xlfn.FORECAST.LINEAR(G27,$B$6:$B$29,$G$6:$G$29)</f>
        <v/>
      </c>
      <c r="F27" s="13" t="n"/>
      <c r="G27" s="14" t="n">
        <v>22</v>
      </c>
    </row>
    <row r="28">
      <c r="A28" s="12">
        <f>EDATE(A27,1)</f>
        <v/>
      </c>
      <c r="B28" s="9" t="n">
        <v>214</v>
      </c>
      <c r="C28" s="13">
        <f>AVERAGE(B25:B27)</f>
        <v/>
      </c>
      <c r="D28" s="13">
        <f>$B$3*B27+(1-$B$3)*D27</f>
        <v/>
      </c>
      <c r="E28" s="13">
        <f>_xlfn.FORECAST.LINEAR(G28,$B$6:$B$29,$G$6:$G$29)</f>
        <v/>
      </c>
      <c r="F28" s="13" t="n"/>
      <c r="G28" s="14" t="n">
        <v>23</v>
      </c>
    </row>
    <row r="29">
      <c r="A29" s="12">
        <f>EDATE(A28,1)</f>
        <v/>
      </c>
      <c r="B29" s="9" t="n">
        <v>221</v>
      </c>
      <c r="C29" s="13">
        <f>AVERAGE(B26:B28)</f>
        <v/>
      </c>
      <c r="D29" s="13">
        <f>$B$3*B28+(1-$B$3)*D28</f>
        <v/>
      </c>
      <c r="E29" s="13">
        <f>_xlfn.FORECAST.LINEAR(G29,$B$6:$B$29,$G$6:$G$29)</f>
        <v/>
      </c>
      <c r="F29" s="13" t="n"/>
      <c r="G29" s="14" t="n">
        <v>24</v>
      </c>
    </row>
    <row r="30">
      <c r="A30" s="15">
        <f>EDATE(A29,1)</f>
        <v/>
      </c>
      <c r="B30" s="16" t="n"/>
      <c r="C30" s="17">
        <f>AVERAGE($B$27:$B$29)</f>
        <v/>
      </c>
      <c r="D30" s="17">
        <f>$B$3*B29+(1-$B$3)*D29</f>
        <v/>
      </c>
      <c r="E30" s="17">
        <f>_xlfn.FORECAST.LINEAR(G30,$B$6:$B$29,$G$6:$G$29)</f>
        <v/>
      </c>
      <c r="F30" s="17">
        <f>_xlfn.FORECAST.ETS(G30,$B$6:$B$29,$G$6:$G$29,12)</f>
        <v/>
      </c>
      <c r="G30" s="14" t="n">
        <v>25</v>
      </c>
    </row>
    <row r="31">
      <c r="A31" s="15">
        <f>EDATE(A30,1)</f>
        <v/>
      </c>
      <c r="B31" s="16" t="n"/>
      <c r="C31" s="17">
        <f>AVERAGE($B$27:$B$29)</f>
        <v/>
      </c>
      <c r="D31" s="17">
        <f>D30</f>
        <v/>
      </c>
      <c r="E31" s="17">
        <f>_xlfn.FORECAST.LINEAR(G31,$B$6:$B$29,$G$6:$G$29)</f>
        <v/>
      </c>
      <c r="F31" s="17">
        <f>_xlfn.FORECAST.ETS(G31,$B$6:$B$29,$G$6:$G$29,12)</f>
        <v/>
      </c>
      <c r="G31" s="14" t="n">
        <v>26</v>
      </c>
    </row>
    <row r="32">
      <c r="A32" s="15">
        <f>EDATE(A31,1)</f>
        <v/>
      </c>
      <c r="B32" s="16" t="n"/>
      <c r="C32" s="17">
        <f>AVERAGE($B$27:$B$29)</f>
        <v/>
      </c>
      <c r="D32" s="17">
        <f>D31</f>
        <v/>
      </c>
      <c r="E32" s="17">
        <f>_xlfn.FORECAST.LINEAR(G32,$B$6:$B$29,$G$6:$G$29)</f>
        <v/>
      </c>
      <c r="F32" s="17">
        <f>_xlfn.FORECAST.ETS(G32,$B$6:$B$29,$G$6:$G$29,12)</f>
        <v/>
      </c>
      <c r="G32" s="14" t="n">
        <v>27</v>
      </c>
    </row>
    <row r="33">
      <c r="A33" s="15">
        <f>EDATE(A32,1)</f>
        <v/>
      </c>
      <c r="B33" s="16" t="n"/>
      <c r="C33" s="17">
        <f>AVERAGE($B$27:$B$29)</f>
        <v/>
      </c>
      <c r="D33" s="17">
        <f>D32</f>
        <v/>
      </c>
      <c r="E33" s="17">
        <f>_xlfn.FORECAST.LINEAR(G33,$B$6:$B$29,$G$6:$G$29)</f>
        <v/>
      </c>
      <c r="F33" s="17">
        <f>_xlfn.FORECAST.ETS(G33,$B$6:$B$29,$G$6:$G$29,12)</f>
        <v/>
      </c>
      <c r="G33" s="14" t="n">
        <v>28</v>
      </c>
    </row>
    <row r="34">
      <c r="A34" s="15">
        <f>EDATE(A33,1)</f>
        <v/>
      </c>
      <c r="B34" s="16" t="n"/>
      <c r="C34" s="17">
        <f>AVERAGE($B$27:$B$29)</f>
        <v/>
      </c>
      <c r="D34" s="17">
        <f>D33</f>
        <v/>
      </c>
      <c r="E34" s="17">
        <f>_xlfn.FORECAST.LINEAR(G34,$B$6:$B$29,$G$6:$G$29)</f>
        <v/>
      </c>
      <c r="F34" s="17">
        <f>_xlfn.FORECAST.ETS(G34,$B$6:$B$29,$G$6:$G$29,12)</f>
        <v/>
      </c>
      <c r="G34" s="14" t="n">
        <v>29</v>
      </c>
    </row>
    <row r="35">
      <c r="A35" s="15">
        <f>EDATE(A34,1)</f>
        <v/>
      </c>
      <c r="B35" s="16" t="n"/>
      <c r="C35" s="17">
        <f>AVERAGE($B$27:$B$29)</f>
        <v/>
      </c>
      <c r="D35" s="17">
        <f>D34</f>
        <v/>
      </c>
      <c r="E35" s="17">
        <f>_xlfn.FORECAST.LINEAR(G35,$B$6:$B$29,$G$6:$G$29)</f>
        <v/>
      </c>
      <c r="F35" s="17">
        <f>_xlfn.FORECAST.ETS(G35,$B$6:$B$29,$G$6:$G$29,12)</f>
        <v/>
      </c>
      <c r="G35" s="14" t="n">
        <v>30</v>
      </c>
    </row>
    <row r="37">
      <c r="A37" s="8" t="inlineStr">
        <is>
          <t>Accuracy (MAPE, lower = better)</t>
        </is>
      </c>
      <c r="C37" s="18">
        <f>SUMPRODUCT(ABS($B$9:$B$29-C9:C29)/$B$9:$B$29)/ROWS($B$9:$B$29)</f>
        <v/>
      </c>
      <c r="D37" s="18">
        <f>SUMPRODUCT(ABS($B$7:$B$29-D7:D29)/$B$7:$B$29)/ROWS($B$7:$B$29)</f>
        <v/>
      </c>
      <c r="E37" s="18">
        <f>SUMPRODUCT(ABS($B$6:$B$29-E6:E29)/$B$6:$B$29)/ROWS($B$6:$B$29)</f>
        <v/>
      </c>
      <c r="F37" s="19" t="inlineStr">
        <is>
          <t>n/a (forecast only)</t>
        </is>
      </c>
    </row>
    <row r="38">
      <c r="A38" s="8" t="inlineStr">
        <is>
          <t>Best-fitting method</t>
        </is>
      </c>
      <c r="C38" s="20">
        <f>INDEX($C$5:$E$5,MATCH(MIN(C37:E37),C37:E37,0))</f>
        <v/>
      </c>
    </row>
    <row r="40" ht="32" customHeight="1">
      <c r="A40" s="21" t="inlineStr">
        <is>
          <t>Tip: if your product has a clear yearly peak (e.g. Q4), compare against the Seasonal ETS column too; MAPE can't score it because it only forecasts future months.</t>
        </is>
      </c>
    </row>
  </sheetData>
  <mergeCells count="1">
    <mergeCell ref="A40:F40"/>
  </mergeCells>
  <conditionalFormatting sqref="C37:E37">
    <cfRule type="expression" priority="1" dxfId="0">
      <formula>C37=MIN($C$37:$E$37)</formula>
    </cfRule>
  </conditionalFormatting>
  <dataValidations count="1">
    <dataValidation sqref="B3" showDropDown="0" showInputMessage="0" showErrorMessage="1" allowBlank="0" error="Enter a value between 0.05 and 0.95" type="decimal" operator="between">
      <formula1>0.05</formula1>
      <formula2>0.95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7" t="inlineStr">
        <is>
          <t>Safety Stock &amp; Reorder Point</t>
        </is>
      </c>
    </row>
    <row r="2">
      <c r="A2" s="22" t="inlineStr">
        <is>
          <t>Daily usage comes from the Forecast tab automatically; enter your supplier lead times.</t>
        </is>
      </c>
    </row>
    <row r="4">
      <c r="A4" s="23" t="inlineStr">
        <is>
          <t>Average daily usage (units)</t>
        </is>
      </c>
      <c r="B4" s="24">
        <f>AVERAGE(Forecast!B18:B29)/30</f>
        <v/>
      </c>
      <c r="C4" s="25" t="inlineStr">
        <is>
          <t>Last 12 months of actuals ÷ 30</t>
        </is>
      </c>
    </row>
    <row r="5">
      <c r="A5" s="23" t="inlineStr">
        <is>
          <t>Maximum daily usage (units)</t>
        </is>
      </c>
      <c r="B5" s="24">
        <f>MAX(Forecast!B18:B29)/30</f>
        <v/>
      </c>
      <c r="C5" s="25" t="inlineStr">
        <is>
          <t>Busiest month in the last 12 ÷ 30</t>
        </is>
      </c>
    </row>
    <row r="6">
      <c r="A6" s="23" t="inlineStr">
        <is>
          <t>Average lead time (days)</t>
        </is>
      </c>
      <c r="B6" s="26" t="n">
        <v>21</v>
      </c>
      <c r="C6" s="25" t="inlineStr">
        <is>
          <t>Typical days from placing a PO to stock arriving</t>
        </is>
      </c>
    </row>
    <row r="7">
      <c r="A7" s="23" t="inlineStr">
        <is>
          <t>Maximum lead time (days)</t>
        </is>
      </c>
      <c r="B7" s="26" t="n">
        <v>35</v>
      </c>
      <c r="C7" s="25" t="inlineStr">
        <is>
          <t>Longest delay you've seen from this supplier</t>
        </is>
      </c>
    </row>
    <row r="9">
      <c r="A9" s="8" t="inlineStr">
        <is>
          <t>Safety stock (units)</t>
        </is>
      </c>
      <c r="B9" s="27">
        <f>ROUNDUP(B5*B7-B4*B6,0)</f>
        <v/>
      </c>
      <c r="C9" s="25" t="inlineStr">
        <is>
          <t>(Max daily usage × Max lead time) − (Avg daily usage × Avg lead time)</t>
        </is>
      </c>
    </row>
    <row r="10">
      <c r="A10" s="8" t="inlineStr">
        <is>
          <t>Reorder point (units)</t>
        </is>
      </c>
      <c r="B10" s="27">
        <f>ROUNDUP(B4*B6+B9,0)</f>
        <v/>
      </c>
      <c r="C10" s="25" t="inlineStr">
        <is>
          <t>(Avg daily usage × Avg lead time) + Safety stock. Reorder when stock falls to this</t>
        </is>
      </c>
    </row>
    <row r="11">
      <c r="A11" s="23" t="inlineStr">
        <is>
          <t>Next month's forecast (best-fitting method)</t>
        </is>
      </c>
      <c r="B11" s="24">
        <f>INDEX(Forecast!C30:E30,MATCH(MIN(Forecast!C37:E37),Forecast!C37:E37,0))</f>
        <v/>
      </c>
      <c r="C11" s="25" t="inlineStr">
        <is>
          <t>From the Forecast tab: the method with the lowest MAPE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2026-10-29T21:52:04Z</dcterms:created>
  <dcterms:modified xsi:type="dcterms:W3CDTF">2026-10-29T21:52:04Z</dcterms:modified>
</cp:coreProperties>
</file>